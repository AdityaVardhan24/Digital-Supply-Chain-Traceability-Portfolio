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4c8d3cadf025767/Desktop/GS1_Master_Data_Project_2025/"/>
    </mc:Choice>
  </mc:AlternateContent>
  <xr:revisionPtr revIDLastSave="241" documentId="11_F25DC773A252ABDACC104819E95978D85BDE58ED" xr6:coauthVersionLast="47" xr6:coauthVersionMax="47" xr10:uidLastSave="{322DBBEF-86A5-4181-AA23-F4C9996529E9}"/>
  <bookViews>
    <workbookView xWindow="-108" yWindow="-108" windowWidth="23256" windowHeight="12456" xr2:uid="{00000000-000D-0000-FFFF-FFFF00000000}"/>
  </bookViews>
  <sheets>
    <sheet name="DashBoard" sheetId="3" r:id="rId1"/>
    <sheet name="Master_Data" sheetId="1" r:id="rId2"/>
    <sheet name="Raw_Data" sheetId="2" r:id="rId3"/>
  </sheets>
  <calcPr calcId="191029"/>
  <pivotCaches>
    <pivotCache cacheId="1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D5" i="1" s="1"/>
  <c r="I5" i="1" s="1"/>
  <c r="J5" i="1" s="1"/>
  <c r="B6" i="1"/>
  <c r="B7" i="1"/>
  <c r="B8" i="1"/>
  <c r="B9" i="1"/>
  <c r="D9" i="1" s="1"/>
  <c r="B10" i="1"/>
  <c r="B11" i="1"/>
  <c r="B2" i="1"/>
  <c r="D4" i="1"/>
  <c r="B12" i="1"/>
  <c r="D3" i="1"/>
  <c r="I3" i="1" s="1"/>
  <c r="J3" i="1" s="1"/>
  <c r="D2" i="1"/>
  <c r="I2" i="1" s="1"/>
  <c r="J2" i="1" s="1"/>
  <c r="C2" i="1"/>
  <c r="C3" i="1"/>
  <c r="C4" i="1"/>
  <c r="C5" i="1"/>
  <c r="C6" i="1"/>
  <c r="C7" i="1"/>
  <c r="C8" i="1"/>
  <c r="C9" i="1"/>
  <c r="C10" i="1"/>
  <c r="C11" i="1"/>
  <c r="C12" i="1"/>
  <c r="D12" i="1" s="1"/>
  <c r="A11" i="1"/>
  <c r="A10" i="1"/>
  <c r="A9" i="1"/>
  <c r="A8" i="1"/>
  <c r="A7" i="1"/>
  <c r="A6" i="1"/>
  <c r="A5" i="1"/>
  <c r="A4" i="1"/>
  <c r="A2" i="1"/>
  <c r="A3" i="1"/>
  <c r="D8" i="1" l="1"/>
  <c r="I8" i="1" s="1"/>
  <c r="J8" i="1" s="1"/>
  <c r="D7" i="1"/>
  <c r="I7" i="1" s="1"/>
  <c r="J7" i="1" s="1"/>
  <c r="D11" i="1"/>
  <c r="I11" i="1" s="1"/>
  <c r="J11" i="1" s="1"/>
  <c r="D10" i="1"/>
  <c r="I10" i="1" s="1"/>
  <c r="J10" i="1" s="1"/>
  <c r="D6" i="1"/>
  <c r="I6" i="1" s="1"/>
  <c r="J6" i="1" s="1"/>
  <c r="I9" i="1"/>
  <c r="J9" i="1" s="1"/>
  <c r="I4" i="1"/>
  <c r="J4" i="1" s="1"/>
</calcChain>
</file>

<file path=xl/sharedStrings.xml><?xml version="1.0" encoding="utf-8"?>
<sst xmlns="http://schemas.openxmlformats.org/spreadsheetml/2006/main" count="90" uniqueCount="70">
  <si>
    <t>Brand_Name</t>
  </si>
  <si>
    <t>Product_Description_Short</t>
  </si>
  <si>
    <t>Product_Description_Long</t>
  </si>
  <si>
    <t>GPC_Brick_Code</t>
  </si>
  <si>
    <t>GPC_Brick_Definition</t>
  </si>
  <si>
    <t>Net_Weight_Value</t>
  </si>
  <si>
    <t>Net_Weight_UOM</t>
  </si>
  <si>
    <t>Data_Quality_Score</t>
  </si>
  <si>
    <t>Status</t>
  </si>
  <si>
    <t>Product Name</t>
  </si>
  <si>
    <t>Brand</t>
  </si>
  <si>
    <t>Weight</t>
  </si>
  <si>
    <t>GTIN (Barcode)</t>
  </si>
  <si>
    <t>Category</t>
  </si>
  <si>
    <t>maggi noodles masala</t>
  </si>
  <si>
    <t>Nestle</t>
  </si>
  <si>
    <t>70 gms</t>
  </si>
  <si>
    <t>Food</t>
  </si>
  <si>
    <t>GALAXY S24 ULTRA</t>
  </si>
  <si>
    <t>Samsung</t>
  </si>
  <si>
    <t>0.232 kg</t>
  </si>
  <si>
    <t>Electronics</t>
  </si>
  <si>
    <t>Coca Cola Can</t>
  </si>
  <si>
    <t>Coke</t>
  </si>
  <si>
    <t>300ml</t>
  </si>
  <si>
    <t>Drinks</t>
  </si>
  <si>
    <t>T-Shirt Cotton Large</t>
  </si>
  <si>
    <t>Zara</t>
  </si>
  <si>
    <t>200 g</t>
  </si>
  <si>
    <t>Apparel</t>
  </si>
  <si>
    <t>iphone 15 pro</t>
  </si>
  <si>
    <t>Apple</t>
  </si>
  <si>
    <t>Mobile</t>
  </si>
  <si>
    <t>AMUL BUTTER 500G</t>
  </si>
  <si>
    <t>Amul</t>
  </si>
  <si>
    <t>500g</t>
  </si>
  <si>
    <t>Dairy</t>
  </si>
  <si>
    <t>Nike Air Max 90</t>
  </si>
  <si>
    <t>Nike</t>
  </si>
  <si>
    <t>1 pair</t>
  </si>
  <si>
    <t>Shoes</t>
  </si>
  <si>
    <t>100% Organic Honey</t>
  </si>
  <si>
    <t>Dabur</t>
  </si>
  <si>
    <t>1kg</t>
  </si>
  <si>
    <t>Sony 55 Inch TV</t>
  </si>
  <si>
    <t>Sony</t>
  </si>
  <si>
    <t>15 kgs</t>
  </si>
  <si>
    <t>Almond Milk</t>
  </si>
  <si>
    <t>Silk</t>
  </si>
  <si>
    <t>1 Litre</t>
  </si>
  <si>
    <t>GTN_14</t>
  </si>
  <si>
    <t>GRM</t>
  </si>
  <si>
    <t>KGM</t>
  </si>
  <si>
    <t>PR</t>
  </si>
  <si>
    <t>LT</t>
  </si>
  <si>
    <t>Pasta/Noodles - Not Ready to Eat (Shelf Stable)</t>
  </si>
  <si>
    <t>Mobile Phones</t>
  </si>
  <si>
    <t>Carbonated Drinks - Ready to Drink</t>
  </si>
  <si>
    <t>Clothing - Upper Body</t>
  </si>
  <si>
    <t>Butter/Milk Fat Products</t>
  </si>
  <si>
    <t>Footwear - Sports</t>
  </si>
  <si>
    <t>Honey</t>
  </si>
  <si>
    <t>Television Receivers</t>
  </si>
  <si>
    <t>Milk Substitutes</t>
  </si>
  <si>
    <t>Row Labels</t>
  </si>
  <si>
    <t>VALID</t>
  </si>
  <si>
    <t>(blank)</t>
  </si>
  <si>
    <t>Grand Total</t>
  </si>
  <si>
    <t>Count of GTN_14</t>
  </si>
  <si>
    <t>Average of Data_Quality_Score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</si>
</sst>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1B1C1D"/>
      <name val="Arial"/>
      <family val="2"/>
    </font>
    <font>
      <sz val="11"/>
      <color rgb="FF1B1C1D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2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[File_B_Master_Catalog.xlsx^.xlsx]DashBoard!PivotTable1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Data Compliance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DashBoard!$B$3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190-4A8D-8FAF-568AC3A1CE34}"/>
              </c:ext>
            </c:extLst>
          </c:dPt>
          <c:cat>
            <c:strRef>
              <c:f>DashBoard!$A$4:$A$5</c:f>
              <c:strCache>
                <c:ptCount val="1"/>
                <c:pt idx="0">
                  <c:v>VALID</c:v>
                </c:pt>
              </c:strCache>
            </c:strRef>
          </c:cat>
          <c:val>
            <c:numRef>
              <c:f>DashBoard!$B$4:$B$5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90-4A8D-8FAF-568AC3A1C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[File_B_Master_Catalog.xlsx^.xlsx]DashBoard!PivotTable2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DashBoard!$L$4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DashBoard!$K$5:$K$15</c:f>
              <c:strCache>
                <c:ptCount val="10"/>
                <c:pt idx="0">
                  <c:v>Butter/Milk Fat Products</c:v>
                </c:pt>
                <c:pt idx="1">
                  <c:v>Carbonated Drinks - Ready to Drink</c:v>
                </c:pt>
                <c:pt idx="2">
                  <c:v>Clothing - Upper Body</c:v>
                </c:pt>
                <c:pt idx="3">
                  <c:v>Footwear - Sports</c:v>
                </c:pt>
                <c:pt idx="4">
                  <c:v>Honey</c:v>
                </c:pt>
                <c:pt idx="5">
                  <c:v>Milk Substitutes</c:v>
                </c:pt>
                <c:pt idx="6">
                  <c:v>Mobile Phones</c:v>
                </c:pt>
                <c:pt idx="7">
                  <c:v>Pasta/Noodles - Not Ready to Eat (Shelf Stable)</c:v>
                </c:pt>
                <c:pt idx="8">
                  <c:v>Television Receivers</c:v>
                </c:pt>
                <c:pt idx="9">
                  <c:v>(blank)</c:v>
                </c:pt>
              </c:strCache>
            </c:strRef>
          </c:cat>
          <c:val>
            <c:numRef>
              <c:f>DashBoard!$L$5:$L$15</c:f>
              <c:numCache>
                <c:formatCode>0%</c:formatCode>
                <c:ptCount val="10"/>
                <c:pt idx="0">
                  <c:v>1</c:v>
                </c:pt>
                <c:pt idx="1">
                  <c:v>0.875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0.875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11-4441-84A1-0EE6EB81A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3137471"/>
        <c:axId val="303136991"/>
      </c:barChart>
      <c:catAx>
        <c:axId val="303137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136991"/>
        <c:crosses val="autoZero"/>
        <c:auto val="1"/>
        <c:lblAlgn val="ctr"/>
        <c:lblOffset val="100"/>
        <c:noMultiLvlLbl val="0"/>
      </c:catAx>
      <c:valAx>
        <c:axId val="30313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137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0</xdr:row>
      <xdr:rowOff>0</xdr:rowOff>
    </xdr:from>
    <xdr:to>
      <xdr:col>8</xdr:col>
      <xdr:colOff>167640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8E1651-A7AF-68ED-4C53-C897E7AAD7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244130</xdr:colOff>
      <xdr:row>1</xdr:row>
      <xdr:rowOff>94567</xdr:rowOff>
    </xdr:from>
    <xdr:to>
      <xdr:col>19</xdr:col>
      <xdr:colOff>535760</xdr:colOff>
      <xdr:row>16</xdr:row>
      <xdr:rowOff>159047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43FF14-8D77-6706-179F-30B87FC825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LAJI DONDLAVAGU" refreshedDate="45981.581482638889" createdVersion="8" refreshedVersion="8" minRefreshableVersion="3" recordCount="11" xr:uid="{C3D8B00C-686F-4C26-82F0-A1E331E72B35}">
  <cacheSource type="worksheet">
    <worksheetSource name="Table2"/>
  </cacheSource>
  <cacheFields count="10">
    <cacheField name="GTN_14" numFmtId="0">
      <sharedItems containsBlank="1"/>
    </cacheField>
    <cacheField name="Brand_Name" numFmtId="0">
      <sharedItems/>
    </cacheField>
    <cacheField name="Product_Description_Short" numFmtId="0">
      <sharedItems/>
    </cacheField>
    <cacheField name="Product_Description_Long" numFmtId="0">
      <sharedItems/>
    </cacheField>
    <cacheField name="GPC_Brick_Code" numFmtId="0">
      <sharedItems containsString="0" containsBlank="1" containsNumber="1" containsInteger="1" minValue="10000043" maxValue="10006322"/>
    </cacheField>
    <cacheField name="GPC_Brick_Definition" numFmtId="0">
      <sharedItems containsBlank="1" count="10">
        <s v="Pasta/Noodles - Not Ready to Eat (Shelf Stable)"/>
        <s v="Mobile Phones"/>
        <s v="Carbonated Drinks - Ready to Drink"/>
        <s v="Clothing - Upper Body"/>
        <s v="Butter/Milk Fat Products"/>
        <s v="Footwear - Sports"/>
        <s v="Honey"/>
        <s v="Television Receivers"/>
        <s v="Milk Substitutes"/>
        <m/>
      </sharedItems>
    </cacheField>
    <cacheField name="Net_Weight_Value" numFmtId="0">
      <sharedItems containsString="0" containsBlank="1" containsNumber="1" minValue="0.23200000000000001" maxValue="500"/>
    </cacheField>
    <cacheField name="Net_Weight_UOM" numFmtId="0">
      <sharedItems containsBlank="1"/>
    </cacheField>
    <cacheField name="Data_Quality_Score" numFmtId="0">
      <sharedItems containsString="0" containsBlank="1" containsNumber="1" minValue="0.875" maxValue="1"/>
    </cacheField>
    <cacheField name="Status" numFmtId="0">
      <sharedItems containsBlank="1" count="3">
        <s v="INVALID"/>
        <s v="VALID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s v="00000089010588"/>
    <s v="Nestle"/>
    <s v="Maggi Noodles Masala"/>
    <s v="Nestle Maggi Noodles Masala 70 GRM"/>
    <m/>
    <x v="0"/>
    <n v="70"/>
    <s v="GRM"/>
    <n v="0.875"/>
    <x v="0"/>
  </r>
  <r>
    <s v="08806090123456"/>
    <s v="Samsung"/>
    <s v="Galaxy S24 Ultra"/>
    <s v="Samsung Galaxy S24 Ultra 0.232 KGM"/>
    <n v="10006322"/>
    <x v="1"/>
    <n v="0.23200000000000001"/>
    <s v="KGM"/>
    <n v="1"/>
    <x v="1"/>
  </r>
  <r>
    <s v="05449000000996"/>
    <s v="Coke"/>
    <s v="Coca Cola Can"/>
    <s v="Coke Coca Cola Can 300 "/>
    <n v="10000201"/>
    <x v="2"/>
    <n v="300"/>
    <m/>
    <n v="0.875"/>
    <x v="0"/>
  </r>
  <r>
    <s v="01234567891234"/>
    <s v="Zara"/>
    <s v="T-Shirt Cotton Large"/>
    <s v="Zara T-Shirt Cotton Large 200 GRM"/>
    <n v="10001355"/>
    <x v="3"/>
    <n v="200"/>
    <s v="GRM"/>
    <n v="1"/>
    <x v="1"/>
  </r>
  <r>
    <s v="00194253000000"/>
    <s v="Apple"/>
    <s v="Iphone 15 Pro"/>
    <s v="Apple Iphone 15 Pro 187 GRM"/>
    <n v="10006322"/>
    <x v="1"/>
    <n v="187"/>
    <s v="GRM"/>
    <n v="1"/>
    <x v="1"/>
  </r>
  <r>
    <s v="00890126201001"/>
    <s v="Amul"/>
    <s v="Amul Butter 500G"/>
    <s v="Amul Amul Butter 500G 500 GRM"/>
    <n v="10000043"/>
    <x v="4"/>
    <n v="500"/>
    <s v="GRM"/>
    <n v="1"/>
    <x v="1"/>
  </r>
  <r>
    <s v="00886060000000"/>
    <s v="Nike"/>
    <s v="Nike Air Max 90"/>
    <s v="Nike Nike Air Max 90 1 PR"/>
    <n v="10000164"/>
    <x v="5"/>
    <n v="1"/>
    <s v="PR"/>
    <n v="1"/>
    <x v="1"/>
  </r>
  <r>
    <s v="08901207000000"/>
    <s v="Dabur"/>
    <s v="100% Organic Honey"/>
    <s v="Dabur 100% Organic Honey 1 KGM"/>
    <n v="10000199"/>
    <x v="6"/>
    <n v="1"/>
    <s v="KGM"/>
    <n v="1"/>
    <x v="1"/>
  </r>
  <r>
    <s v="00000049055249"/>
    <s v="Sony"/>
    <s v="Sony 55 Inch Tv"/>
    <s v="Sony Sony 55 Inch Tv 15 KGM"/>
    <n v="10006278"/>
    <x v="7"/>
    <n v="15"/>
    <s v="KGM"/>
    <n v="1"/>
    <x v="1"/>
  </r>
  <r>
    <s v="00000000123456"/>
    <s v="Silk"/>
    <s v="Almond Milk"/>
    <s v="Silk Almond Milk 1 LT"/>
    <n v="10000247"/>
    <x v="8"/>
    <n v="1"/>
    <s v="LT"/>
    <n v="1"/>
    <x v="1"/>
  </r>
  <r>
    <m/>
    <s v=""/>
    <s v=""/>
    <s v=""/>
    <m/>
    <x v="9"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9DEC18-10E6-4927-97D9-8A80469ED677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K4:L15" firstHeaderRow="1" firstDataRow="1" firstDataCol="1"/>
  <pivotFields count="10">
    <pivotField showAll="0"/>
    <pivotField showAll="0"/>
    <pivotField showAll="0"/>
    <pivotField showAll="0"/>
    <pivotField showAll="0"/>
    <pivotField axis="axisRow" showAll="0">
      <items count="11">
        <item x="4"/>
        <item x="2"/>
        <item x="3"/>
        <item x="5"/>
        <item x="6"/>
        <item x="8"/>
        <item x="1"/>
        <item x="0"/>
        <item x="7"/>
        <item x="9"/>
        <item t="default"/>
      </items>
    </pivotField>
    <pivotField showAll="0"/>
    <pivotField showAll="0"/>
    <pivotField dataField="1" showAll="0"/>
    <pivotField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Data_Quality_Score" fld="8" subtotal="average" baseField="5" baseItem="3" numFmtId="9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561140-BEF4-4FB6-BD83-0C27F5442AB2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5" firstHeaderRow="1" firstDataRow="1" firstDataCol="1"/>
  <pivotFields count="1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h="1" x="2"/>
        <item h="1" x="0"/>
        <item t="default"/>
      </items>
    </pivotField>
  </pivotFields>
  <rowFields count="1">
    <field x="9"/>
  </rowFields>
  <rowItems count="2">
    <i>
      <x/>
    </i>
    <i t="grand">
      <x/>
    </i>
  </rowItems>
  <colItems count="1">
    <i/>
  </colItems>
  <dataFields count="1">
    <dataField name="Count of GTN_14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61BE14-1B7F-45CD-BDED-7BA131E748E9}" name="Table2" displayName="Table2" ref="A1:J12" totalsRowShown="0" dataDxfId="10">
  <autoFilter ref="A1:J12" xr:uid="{E661BE14-1B7F-45CD-BDED-7BA131E748E9}"/>
  <tableColumns count="10">
    <tableColumn id="1" xr3:uid="{E6832DA0-F0E6-429B-8FC3-11279B211D7F}" name="GTN_14" dataDxfId="20">
      <calculatedColumnFormula>TEXT(Raw_Data!D2, "00000000000000")</calculatedColumnFormula>
    </tableColumn>
    <tableColumn id="2" xr3:uid="{8BA2D3E7-F279-4877-80E1-91B90A291CB2}" name="Brand_Name" dataDxfId="19">
      <calculatedColumnFormula>TRIM(PROPER(Raw_Data!C2))</calculatedColumnFormula>
    </tableColumn>
    <tableColumn id="3" xr3:uid="{70519854-7600-4E29-9C85-1652872EB3E5}" name="Product_Description_Short" dataDxfId="18">
      <calculatedColumnFormula>TRIM(PROPER(Raw_Data!A2))</calculatedColumnFormula>
    </tableColumn>
    <tableColumn id="4" xr3:uid="{EDADC859-4ADF-44E8-9244-10006BC69ECE}" name="Product_Description_Long" dataDxfId="17">
      <calculatedColumnFormula>C2</calculatedColumnFormula>
    </tableColumn>
    <tableColumn id="5" xr3:uid="{5FBCB537-BCD0-42DA-B9B4-13F0EE0C0F15}" name="GPC_Brick_Code" dataDxfId="16"/>
    <tableColumn id="6" xr3:uid="{2C3697AC-3021-428E-AACC-65A5B7FC3BC2}" name="GPC_Brick_Definition" dataDxfId="15"/>
    <tableColumn id="7" xr3:uid="{E3A6886F-147C-430C-B130-17F2967B1848}" name="Net_Weight_Value" dataDxfId="14"/>
    <tableColumn id="8" xr3:uid="{87533482-D64E-4341-A3D5-47BA52873EDF}" name="Net_Weight_UOM" dataDxfId="13"/>
    <tableColumn id="9" xr3:uid="{05DF14A7-880E-4088-88A1-41B83A74B635}" name="Data_Quality_Score" dataDxfId="12">
      <calculatedColumnFormula>COUNTA(A2:H2)/8</calculatedColumnFormula>
    </tableColumn>
    <tableColumn id="10" xr3:uid="{157D9C0A-0F30-4DCB-9BC9-05847DC0D0E6}" name="Status" dataDxfId="11">
      <calculatedColumnFormula>IF(I2=1, "VALID", "INVALID")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B6396-B218-428C-B023-7EFAEA36F71A}">
  <dimension ref="A3:L15"/>
  <sheetViews>
    <sheetView tabSelected="1" topLeftCell="L2" zoomScale="142" workbookViewId="0">
      <selection activeCell="M20" sqref="M20"/>
    </sheetView>
  </sheetViews>
  <sheetFormatPr defaultRowHeight="14.4" x14ac:dyDescent="0.3"/>
  <cols>
    <col min="1" max="1" width="13.109375" bestFit="1" customWidth="1"/>
    <col min="2" max="2" width="15.44140625" bestFit="1" customWidth="1"/>
    <col min="11" max="11" width="42" bestFit="1" customWidth="1"/>
    <col min="12" max="12" width="27.6640625" bestFit="1" customWidth="1"/>
  </cols>
  <sheetData>
    <row r="3" spans="1:12" x14ac:dyDescent="0.3">
      <c r="A3" s="4" t="s">
        <v>64</v>
      </c>
      <c r="B3" t="s">
        <v>68</v>
      </c>
    </row>
    <row r="4" spans="1:12" x14ac:dyDescent="0.3">
      <c r="A4" s="5" t="s">
        <v>65</v>
      </c>
      <c r="B4" s="6">
        <v>8</v>
      </c>
      <c r="K4" s="4" t="s">
        <v>64</v>
      </c>
      <c r="L4" t="s">
        <v>69</v>
      </c>
    </row>
    <row r="5" spans="1:12" x14ac:dyDescent="0.3">
      <c r="A5" s="5" t="s">
        <v>67</v>
      </c>
      <c r="B5" s="6">
        <v>8</v>
      </c>
      <c r="K5" s="5" t="s">
        <v>59</v>
      </c>
      <c r="L5" s="7">
        <v>1</v>
      </c>
    </row>
    <row r="6" spans="1:12" x14ac:dyDescent="0.3">
      <c r="K6" s="5" t="s">
        <v>57</v>
      </c>
      <c r="L6" s="7">
        <v>0.875</v>
      </c>
    </row>
    <row r="7" spans="1:12" x14ac:dyDescent="0.3">
      <c r="K7" s="5" t="s">
        <v>58</v>
      </c>
      <c r="L7" s="7">
        <v>1</v>
      </c>
    </row>
    <row r="8" spans="1:12" x14ac:dyDescent="0.3">
      <c r="K8" s="5" t="s">
        <v>60</v>
      </c>
      <c r="L8" s="7">
        <v>1</v>
      </c>
    </row>
    <row r="9" spans="1:12" x14ac:dyDescent="0.3">
      <c r="K9" s="5" t="s">
        <v>61</v>
      </c>
      <c r="L9" s="7">
        <v>1</v>
      </c>
    </row>
    <row r="10" spans="1:12" x14ac:dyDescent="0.3">
      <c r="K10" s="5" t="s">
        <v>63</v>
      </c>
      <c r="L10" s="7">
        <v>1</v>
      </c>
    </row>
    <row r="11" spans="1:12" x14ac:dyDescent="0.3">
      <c r="K11" s="5" t="s">
        <v>56</v>
      </c>
      <c r="L11" s="7">
        <v>1</v>
      </c>
    </row>
    <row r="12" spans="1:12" x14ac:dyDescent="0.3">
      <c r="K12" s="5" t="s">
        <v>55</v>
      </c>
      <c r="L12" s="7">
        <v>0.875</v>
      </c>
    </row>
    <row r="13" spans="1:12" x14ac:dyDescent="0.3">
      <c r="K13" s="5" t="s">
        <v>62</v>
      </c>
      <c r="L13" s="7">
        <v>1</v>
      </c>
    </row>
    <row r="14" spans="1:12" x14ac:dyDescent="0.3">
      <c r="K14" s="5" t="s">
        <v>66</v>
      </c>
      <c r="L14" s="7"/>
    </row>
    <row r="15" spans="1:12" x14ac:dyDescent="0.3">
      <c r="K15" s="5" t="s">
        <v>67</v>
      </c>
      <c r="L15" s="7">
        <v>0.97499999999999998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zoomScale="78" workbookViewId="0">
      <selection activeCell="I17" sqref="I17"/>
    </sheetView>
  </sheetViews>
  <sheetFormatPr defaultRowHeight="14.4" x14ac:dyDescent="0.3"/>
  <cols>
    <col min="1" max="1" width="39.33203125" customWidth="1"/>
    <col min="2" max="2" width="21.109375" customWidth="1"/>
    <col min="3" max="3" width="25.88671875" customWidth="1"/>
    <col min="4" max="4" width="39" customWidth="1"/>
    <col min="5" max="5" width="24.88671875" customWidth="1"/>
    <col min="6" max="6" width="39.5546875" customWidth="1"/>
    <col min="7" max="7" width="19.5546875" customWidth="1"/>
    <col min="8" max="8" width="19.33203125" customWidth="1"/>
    <col min="9" max="9" width="20.33203125" customWidth="1"/>
  </cols>
  <sheetData>
    <row r="1" spans="1:10" x14ac:dyDescent="0.3">
      <c r="A1" t="s">
        <v>50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 s="3" t="str">
        <f>TEXT(Raw_Data!D2, "00000000000000")</f>
        <v>00000089010588</v>
      </c>
      <c r="B2" s="3" t="str">
        <f>TRIM(PROPER(Raw_Data!B2))</f>
        <v>Nestle</v>
      </c>
      <c r="C2" s="3" t="str">
        <f>TRIM(PROPER(Raw_Data!A2))</f>
        <v>Maggi Noodles Masala</v>
      </c>
      <c r="D2" s="3" t="str">
        <f>B2 &amp; " " &amp; C2 &amp; " " &amp; G2 &amp; " " &amp; H2</f>
        <v>Nestle Maggi Noodles Masala 70 GRM</v>
      </c>
      <c r="E2" s="3"/>
      <c r="F2" s="3" t="s">
        <v>55</v>
      </c>
      <c r="G2" s="3">
        <v>70</v>
      </c>
      <c r="H2" s="3" t="s">
        <v>51</v>
      </c>
      <c r="I2" s="3">
        <f t="shared" ref="I2:I11" si="0">COUNTA(A2:H2)/8</f>
        <v>0.875</v>
      </c>
      <c r="J2" s="3" t="str">
        <f t="shared" ref="J2:J11" si="1">IF(I2=1, "VALID", "INVALID")</f>
        <v>INVALID</v>
      </c>
    </row>
    <row r="3" spans="1:10" x14ac:dyDescent="0.3">
      <c r="A3" s="3" t="str">
        <f>TEXT(Raw_Data!D3, "00000000000000")</f>
        <v>08806090123456</v>
      </c>
      <c r="B3" s="3" t="str">
        <f>TRIM(PROPER(Raw_Data!B3))</f>
        <v>Samsung</v>
      </c>
      <c r="C3" s="3" t="str">
        <f>TRIM(PROPER(Raw_Data!A3))</f>
        <v>Galaxy S24 Ultra</v>
      </c>
      <c r="D3" s="3" t="str">
        <f t="shared" ref="D3:D11" si="2">B3 &amp; " " &amp; C3 &amp; " " &amp; G3 &amp; " " &amp; H3</f>
        <v>Samsung Galaxy S24 Ultra 0.232 KGM</v>
      </c>
      <c r="E3" s="3">
        <v>10006322</v>
      </c>
      <c r="F3" s="3" t="s">
        <v>56</v>
      </c>
      <c r="G3" s="3">
        <v>0.23200000000000001</v>
      </c>
      <c r="H3" s="3" t="s">
        <v>52</v>
      </c>
      <c r="I3" s="3">
        <f t="shared" si="0"/>
        <v>1</v>
      </c>
      <c r="J3" s="3" t="str">
        <f t="shared" si="1"/>
        <v>VALID</v>
      </c>
    </row>
    <row r="4" spans="1:10" x14ac:dyDescent="0.3">
      <c r="A4" s="3" t="str">
        <f>TEXT(Raw_Data!D4, "00000000000000")</f>
        <v>05449000000996</v>
      </c>
      <c r="B4" s="3" t="str">
        <f>TRIM(PROPER(Raw_Data!B4))</f>
        <v>Coke</v>
      </c>
      <c r="C4" s="3" t="str">
        <f>TRIM(PROPER(Raw_Data!A4))</f>
        <v>Coca Cola Can</v>
      </c>
      <c r="D4" s="3" t="str">
        <f t="shared" si="2"/>
        <v xml:space="preserve">Coke Coca Cola Can 300 </v>
      </c>
      <c r="E4" s="3">
        <v>10000201</v>
      </c>
      <c r="F4" s="3" t="s">
        <v>57</v>
      </c>
      <c r="G4" s="3">
        <v>300</v>
      </c>
      <c r="H4" s="3"/>
      <c r="I4" s="3">
        <f t="shared" si="0"/>
        <v>0.875</v>
      </c>
      <c r="J4" s="3" t="str">
        <f t="shared" si="1"/>
        <v>INVALID</v>
      </c>
    </row>
    <row r="5" spans="1:10" x14ac:dyDescent="0.3">
      <c r="A5" s="3" t="str">
        <f>TEXT(Raw_Data!D5, "00000000000000")</f>
        <v>01234567891234</v>
      </c>
      <c r="B5" s="3" t="str">
        <f>TRIM(PROPER(Raw_Data!B5))</f>
        <v>Zara</v>
      </c>
      <c r="C5" s="3" t="str">
        <f>TRIM(PROPER(Raw_Data!A5))</f>
        <v>T-Shirt Cotton Large</v>
      </c>
      <c r="D5" s="3" t="str">
        <f t="shared" si="2"/>
        <v>Zara T-Shirt Cotton Large 200 GRM</v>
      </c>
      <c r="E5" s="3">
        <v>10001355</v>
      </c>
      <c r="F5" s="3" t="s">
        <v>58</v>
      </c>
      <c r="G5" s="3">
        <v>200</v>
      </c>
      <c r="H5" s="3" t="s">
        <v>51</v>
      </c>
      <c r="I5" s="3">
        <f t="shared" si="0"/>
        <v>1</v>
      </c>
      <c r="J5" s="3" t="str">
        <f t="shared" si="1"/>
        <v>VALID</v>
      </c>
    </row>
    <row r="6" spans="1:10" x14ac:dyDescent="0.3">
      <c r="A6" s="3" t="str">
        <f>TEXT(Raw_Data!D6, "00000000000000")</f>
        <v>00194253000000</v>
      </c>
      <c r="B6" s="3" t="str">
        <f>TRIM(PROPER(Raw_Data!B6))</f>
        <v>Apple</v>
      </c>
      <c r="C6" s="3" t="str">
        <f>TRIM(PROPER(Raw_Data!A6))</f>
        <v>Iphone 15 Pro</v>
      </c>
      <c r="D6" s="3" t="str">
        <f t="shared" si="2"/>
        <v>Apple Iphone 15 Pro 187 GRM</v>
      </c>
      <c r="E6" s="3">
        <v>10006322</v>
      </c>
      <c r="F6" s="3" t="s">
        <v>56</v>
      </c>
      <c r="G6" s="3">
        <v>187</v>
      </c>
      <c r="H6" s="3" t="s">
        <v>51</v>
      </c>
      <c r="I6" s="3">
        <f t="shared" si="0"/>
        <v>1</v>
      </c>
      <c r="J6" s="3" t="str">
        <f t="shared" si="1"/>
        <v>VALID</v>
      </c>
    </row>
    <row r="7" spans="1:10" x14ac:dyDescent="0.3">
      <c r="A7" s="3" t="str">
        <f>TEXT(Raw_Data!D7, "00000000000000")</f>
        <v>00890126201001</v>
      </c>
      <c r="B7" s="3" t="str">
        <f>TRIM(PROPER(Raw_Data!B7))</f>
        <v>Amul</v>
      </c>
      <c r="C7" s="3" t="str">
        <f>TRIM(PROPER(Raw_Data!A7))</f>
        <v>Amul Butter 500G</v>
      </c>
      <c r="D7" s="3" t="str">
        <f t="shared" si="2"/>
        <v>Amul Amul Butter 500G 500 GRM</v>
      </c>
      <c r="E7" s="3">
        <v>10000043</v>
      </c>
      <c r="F7" s="3" t="s">
        <v>59</v>
      </c>
      <c r="G7" s="3">
        <v>500</v>
      </c>
      <c r="H7" s="3" t="s">
        <v>51</v>
      </c>
      <c r="I7" s="3">
        <f t="shared" si="0"/>
        <v>1</v>
      </c>
      <c r="J7" s="3" t="str">
        <f t="shared" si="1"/>
        <v>VALID</v>
      </c>
    </row>
    <row r="8" spans="1:10" x14ac:dyDescent="0.3">
      <c r="A8" s="3" t="str">
        <f>TEXT(Raw_Data!D8, "00000000000000")</f>
        <v>00886060000000</v>
      </c>
      <c r="B8" s="3" t="str">
        <f>TRIM(PROPER(Raw_Data!B8))</f>
        <v>Nike</v>
      </c>
      <c r="C8" s="3" t="str">
        <f>TRIM(PROPER(Raw_Data!A8))</f>
        <v>Nike Air Max 90</v>
      </c>
      <c r="D8" s="3" t="str">
        <f t="shared" si="2"/>
        <v>Nike Nike Air Max 90 1 PR</v>
      </c>
      <c r="E8" s="3">
        <v>10000164</v>
      </c>
      <c r="F8" s="3" t="s">
        <v>60</v>
      </c>
      <c r="G8" s="3">
        <v>1</v>
      </c>
      <c r="H8" s="3" t="s">
        <v>53</v>
      </c>
      <c r="I8" s="3">
        <f t="shared" si="0"/>
        <v>1</v>
      </c>
      <c r="J8" s="3" t="str">
        <f t="shared" si="1"/>
        <v>VALID</v>
      </c>
    </row>
    <row r="9" spans="1:10" x14ac:dyDescent="0.3">
      <c r="A9" s="3" t="str">
        <f>TEXT(Raw_Data!D9, "00000000000000")</f>
        <v>08901207000000</v>
      </c>
      <c r="B9" s="3" t="str">
        <f>TRIM(PROPER(Raw_Data!B9))</f>
        <v>Dabur</v>
      </c>
      <c r="C9" s="3" t="str">
        <f>TRIM(PROPER(Raw_Data!A9))</f>
        <v>100% Organic Honey</v>
      </c>
      <c r="D9" s="3" t="str">
        <f t="shared" si="2"/>
        <v>Dabur 100% Organic Honey 1 KGM</v>
      </c>
      <c r="E9" s="3">
        <v>10000199</v>
      </c>
      <c r="F9" s="3" t="s">
        <v>61</v>
      </c>
      <c r="G9" s="3">
        <v>1</v>
      </c>
      <c r="H9" s="3" t="s">
        <v>52</v>
      </c>
      <c r="I9" s="3">
        <f t="shared" si="0"/>
        <v>1</v>
      </c>
      <c r="J9" s="3" t="str">
        <f t="shared" si="1"/>
        <v>VALID</v>
      </c>
    </row>
    <row r="10" spans="1:10" x14ac:dyDescent="0.3">
      <c r="A10" s="3" t="str">
        <f>TEXT(Raw_Data!D10, "00000000000000")</f>
        <v>00000049055249</v>
      </c>
      <c r="B10" s="3" t="str">
        <f>TRIM(PROPER(Raw_Data!B10))</f>
        <v>Sony</v>
      </c>
      <c r="C10" s="3" t="str">
        <f>TRIM(PROPER(Raw_Data!A10))</f>
        <v>Sony 55 Inch Tv</v>
      </c>
      <c r="D10" s="3" t="str">
        <f t="shared" si="2"/>
        <v>Sony Sony 55 Inch Tv 15 KGM</v>
      </c>
      <c r="E10" s="3">
        <v>10006278</v>
      </c>
      <c r="F10" s="3" t="s">
        <v>62</v>
      </c>
      <c r="G10" s="3">
        <v>15</v>
      </c>
      <c r="H10" s="3" t="s">
        <v>52</v>
      </c>
      <c r="I10" s="3">
        <f t="shared" si="0"/>
        <v>1</v>
      </c>
      <c r="J10" s="3" t="str">
        <f t="shared" si="1"/>
        <v>VALID</v>
      </c>
    </row>
    <row r="11" spans="1:10" x14ac:dyDescent="0.3">
      <c r="A11" s="3" t="str">
        <f>TEXT(Raw_Data!D11, "00000000000000")</f>
        <v>00000000123456</v>
      </c>
      <c r="B11" s="3" t="str">
        <f>TRIM(PROPER(Raw_Data!B11))</f>
        <v>Silk</v>
      </c>
      <c r="C11" s="3" t="str">
        <f>TRIM(PROPER(Raw_Data!A11))</f>
        <v>Almond Milk</v>
      </c>
      <c r="D11" s="3" t="str">
        <f t="shared" si="2"/>
        <v>Silk Almond Milk 1 LT</v>
      </c>
      <c r="E11" s="3">
        <v>10000247</v>
      </c>
      <c r="F11" s="3" t="s">
        <v>63</v>
      </c>
      <c r="G11" s="3">
        <v>1</v>
      </c>
      <c r="H11" s="3" t="s">
        <v>54</v>
      </c>
      <c r="I11" s="3">
        <f t="shared" si="0"/>
        <v>1</v>
      </c>
      <c r="J11" s="3" t="str">
        <f t="shared" si="1"/>
        <v>VALID</v>
      </c>
    </row>
    <row r="12" spans="1:10" x14ac:dyDescent="0.3">
      <c r="A12" s="3"/>
      <c r="B12" s="3" t="str">
        <f>TRIM(PROPER(Raw_Data!C12))</f>
        <v/>
      </c>
      <c r="C12" s="3" t="str">
        <f>TRIM(PROPER(Raw_Data!A17))</f>
        <v/>
      </c>
      <c r="D12" s="3" t="str">
        <f t="shared" ref="D12" si="3">C12</f>
        <v/>
      </c>
      <c r="E12" s="3"/>
      <c r="F12" s="3"/>
      <c r="G12" s="3"/>
      <c r="H12" s="3"/>
      <c r="I12" s="3"/>
      <c r="J12" s="3"/>
    </row>
  </sheetData>
  <phoneticPr fontId="3" type="noConversion"/>
  <conditionalFormatting sqref="J1:J1048576">
    <cfRule type="cellIs" dxfId="0" priority="3" operator="equal">
      <formula>"VALID"</formula>
    </cfRule>
    <cfRule type="cellIs" dxfId="1" priority="4" operator="equal">
      <formula>"VALID"</formula>
    </cfRule>
    <cfRule type="cellIs" dxfId="2" priority="1" operator="equal">
      <formula>"INVALID"</formula>
    </cfRule>
  </conditionalFormatting>
  <conditionalFormatting sqref="J2">
    <cfRule type="cellIs" dxfId="6" priority="2" operator="equal">
      <formula>"INVALID"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01E21-2933-42A3-A0A4-561F6D22E4BC}">
  <dimension ref="A1:E11"/>
  <sheetViews>
    <sheetView workbookViewId="0">
      <selection activeCell="F7" sqref="F7"/>
    </sheetView>
  </sheetViews>
  <sheetFormatPr defaultRowHeight="14.4" x14ac:dyDescent="0.3"/>
  <cols>
    <col min="1" max="1" width="31.77734375" customWidth="1"/>
    <col min="2" max="2" width="20.109375" customWidth="1"/>
    <col min="3" max="3" width="20.88671875" customWidth="1"/>
    <col min="4" max="4" width="26.88671875" customWidth="1"/>
    <col min="5" max="5" width="25" customWidth="1"/>
  </cols>
  <sheetData>
    <row r="1" spans="1:5" ht="42" thickBot="1" x14ac:dyDescent="0.3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 ht="55.8" thickBot="1" x14ac:dyDescent="0.35">
      <c r="A2" s="2" t="s">
        <v>14</v>
      </c>
      <c r="B2" s="2" t="s">
        <v>15</v>
      </c>
      <c r="C2" s="2" t="s">
        <v>16</v>
      </c>
      <c r="D2" s="2">
        <v>89010588</v>
      </c>
      <c r="E2" s="2" t="s">
        <v>17</v>
      </c>
    </row>
    <row r="3" spans="1:5" ht="42" thickBot="1" x14ac:dyDescent="0.35">
      <c r="A3" s="2" t="s">
        <v>18</v>
      </c>
      <c r="B3" s="2" t="s">
        <v>19</v>
      </c>
      <c r="C3" s="2" t="s">
        <v>20</v>
      </c>
      <c r="D3" s="2">
        <v>8806090123456</v>
      </c>
      <c r="E3" s="2" t="s">
        <v>21</v>
      </c>
    </row>
    <row r="4" spans="1:5" ht="42" thickBot="1" x14ac:dyDescent="0.35">
      <c r="A4" s="2" t="s">
        <v>22</v>
      </c>
      <c r="B4" s="2" t="s">
        <v>23</v>
      </c>
      <c r="C4" s="2" t="s">
        <v>24</v>
      </c>
      <c r="D4" s="2">
        <v>5449000000996</v>
      </c>
      <c r="E4" s="2" t="s">
        <v>25</v>
      </c>
    </row>
    <row r="5" spans="1:5" ht="42" thickBot="1" x14ac:dyDescent="0.35">
      <c r="A5" s="2" t="s">
        <v>26</v>
      </c>
      <c r="B5" s="2" t="s">
        <v>27</v>
      </c>
      <c r="C5" s="2" t="s">
        <v>28</v>
      </c>
      <c r="D5" s="2">
        <v>1234567891234</v>
      </c>
      <c r="E5" s="2" t="s">
        <v>29</v>
      </c>
    </row>
    <row r="6" spans="1:5" ht="28.2" thickBot="1" x14ac:dyDescent="0.35">
      <c r="A6" s="2" t="s">
        <v>30</v>
      </c>
      <c r="B6" s="2" t="s">
        <v>31</v>
      </c>
      <c r="C6" s="2">
        <v>187</v>
      </c>
      <c r="D6" s="2">
        <v>194253000000</v>
      </c>
      <c r="E6" s="2" t="s">
        <v>32</v>
      </c>
    </row>
    <row r="7" spans="1:5" ht="55.8" thickBot="1" x14ac:dyDescent="0.35">
      <c r="A7" s="2" t="s">
        <v>33</v>
      </c>
      <c r="B7" s="2" t="s">
        <v>34</v>
      </c>
      <c r="C7" s="2" t="s">
        <v>35</v>
      </c>
      <c r="D7" s="2">
        <v>890126201001</v>
      </c>
      <c r="E7" s="2" t="s">
        <v>36</v>
      </c>
    </row>
    <row r="8" spans="1:5" ht="42" thickBot="1" x14ac:dyDescent="0.35">
      <c r="A8" s="2" t="s">
        <v>37</v>
      </c>
      <c r="B8" s="2" t="s">
        <v>38</v>
      </c>
      <c r="C8" s="2" t="s">
        <v>39</v>
      </c>
      <c r="D8" s="2">
        <v>886060000000</v>
      </c>
      <c r="E8" s="2" t="s">
        <v>40</v>
      </c>
    </row>
    <row r="9" spans="1:5" ht="55.8" thickBot="1" x14ac:dyDescent="0.35">
      <c r="A9" s="2" t="s">
        <v>41</v>
      </c>
      <c r="B9" s="2" t="s">
        <v>42</v>
      </c>
      <c r="C9" s="2" t="s">
        <v>43</v>
      </c>
      <c r="D9" s="2">
        <v>8901207000000</v>
      </c>
      <c r="E9" s="2" t="s">
        <v>17</v>
      </c>
    </row>
    <row r="10" spans="1:5" ht="42" thickBot="1" x14ac:dyDescent="0.35">
      <c r="A10" s="2" t="s">
        <v>44</v>
      </c>
      <c r="B10" s="2" t="s">
        <v>45</v>
      </c>
      <c r="C10" s="2" t="s">
        <v>46</v>
      </c>
      <c r="D10" s="2">
        <v>49055249</v>
      </c>
      <c r="E10" s="2" t="s">
        <v>21</v>
      </c>
    </row>
    <row r="11" spans="1:5" ht="28.2" thickBot="1" x14ac:dyDescent="0.35">
      <c r="A11" s="2" t="s">
        <v>47</v>
      </c>
      <c r="B11" s="2" t="s">
        <v>48</v>
      </c>
      <c r="C11" s="2" t="s">
        <v>49</v>
      </c>
      <c r="D11" s="2">
        <v>123456</v>
      </c>
      <c r="E11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Master_Data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Vardhan</dc:creator>
  <cp:lastModifiedBy>Aditya Vardhan</cp:lastModifiedBy>
  <dcterms:created xsi:type="dcterms:W3CDTF">2015-06-05T18:17:20Z</dcterms:created>
  <dcterms:modified xsi:type="dcterms:W3CDTF">2025-11-20T08:34:27Z</dcterms:modified>
</cp:coreProperties>
</file>